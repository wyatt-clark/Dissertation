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20" windowHeight="16060" tabRatio="500"/>
  </bookViews>
  <sheets>
    <sheet name="MFO_2" sheetId="6" r:id="rId1"/>
    <sheet name="BPO_2" sheetId="2" r:id="rId2"/>
    <sheet name="BPO_4" sheetId="4" r:id="rId3"/>
    <sheet name="MFO_4" sheetId="7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0" i="2" l="1"/>
</calcChain>
</file>

<file path=xl/sharedStrings.xml><?xml version="1.0" encoding="utf-8"?>
<sst xmlns="http://schemas.openxmlformats.org/spreadsheetml/2006/main" count="280" uniqueCount="23">
  <si>
    <t>Comb_BPO_ALL_2_curve</t>
  </si>
  <si>
    <t>ortholog</t>
  </si>
  <si>
    <t>PI</t>
  </si>
  <si>
    <t>PR_avg</t>
  </si>
  <si>
    <t>std_err</t>
  </si>
  <si>
    <t>count</t>
  </si>
  <si>
    <t>NaN</t>
  </si>
  <si>
    <t>paralog</t>
  </si>
  <si>
    <t xml:space="preserve">X axis </t>
  </si>
  <si>
    <t>Y axis</t>
  </si>
  <si>
    <t>Label</t>
  </si>
  <si>
    <t>(0.6, 0.5]</t>
  </si>
  <si>
    <t>(0.7, 0.6]</t>
  </si>
  <si>
    <t>(0.8, 0.7]</t>
  </si>
  <si>
    <t>(0.9, 0.8]</t>
  </si>
  <si>
    <t>(1.0, 0.9]</t>
  </si>
  <si>
    <t>[1.0]</t>
  </si>
  <si>
    <t>Comb_MFO_ALL_2_curve</t>
  </si>
  <si>
    <t>Comb_BPO_ALL_4_curve</t>
  </si>
  <si>
    <t>inparalog</t>
  </si>
  <si>
    <t>bs outparalog</t>
  </si>
  <si>
    <t>ws outparalog</t>
  </si>
  <si>
    <t>Comb_MFO_ALL_4_curve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</si>
</sst>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0" fontId="1" fillId="0" borderId="0" xfId="1"/>
    <xf numFmtId="0" fontId="2" fillId="0" borderId="0" xfId="1" applyFont="1"/>
    <xf numFmtId="0" fontId="2" fillId="0" borderId="0" xfId="1" applyFont="1" applyAlignment="1">
      <alignment horizontal="left"/>
    </xf>
    <xf numFmtId="2" fontId="1" fillId="0" borderId="0" xfId="1" applyNumberFormat="1" applyAlignment="1">
      <alignment horizontal="right"/>
    </xf>
  </cellXfs>
  <cellStyles count="1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031128506653"/>
          <c:y val="0.0286730849025876"/>
          <c:w val="0.805230165733304"/>
          <c:h val="0.768732353129723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MFO_2!$C$5:$C$10</c:f>
                <c:numCache>
                  <c:formatCode>General</c:formatCode>
                  <c:ptCount val="6"/>
                  <c:pt idx="0">
                    <c:v>0.048</c:v>
                  </c:pt>
                  <c:pt idx="1">
                    <c:v>0.011</c:v>
                  </c:pt>
                  <c:pt idx="2">
                    <c:v>0.014</c:v>
                  </c:pt>
                  <c:pt idx="3">
                    <c:v>0.019</c:v>
                  </c:pt>
                  <c:pt idx="4">
                    <c:v>0.028</c:v>
                  </c:pt>
                  <c:pt idx="5">
                    <c:v>0.047</c:v>
                  </c:pt>
                </c:numCache>
              </c:numRef>
            </c:plus>
            <c:minus>
              <c:numRef>
                <c:f>MFO_2!$C$5:$C$10</c:f>
                <c:numCache>
                  <c:formatCode>General</c:formatCode>
                  <c:ptCount val="6"/>
                  <c:pt idx="0">
                    <c:v>0.048</c:v>
                  </c:pt>
                  <c:pt idx="1">
                    <c:v>0.011</c:v>
                  </c:pt>
                  <c:pt idx="2">
                    <c:v>0.014</c:v>
                  </c:pt>
                  <c:pt idx="3">
                    <c:v>0.019</c:v>
                  </c:pt>
                  <c:pt idx="4">
                    <c:v>0.028</c:v>
                  </c:pt>
                  <c:pt idx="5">
                    <c:v>0.047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MFO_2!$A$5:$A$10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95.5</c:v>
                </c:pt>
                <c:pt idx="2">
                  <c:v>85.5</c:v>
                </c:pt>
                <c:pt idx="3">
                  <c:v>75.5</c:v>
                </c:pt>
                <c:pt idx="4">
                  <c:v>65.5</c:v>
                </c:pt>
                <c:pt idx="5">
                  <c:v>55.5</c:v>
                </c:pt>
              </c:numCache>
            </c:numRef>
          </c:xVal>
          <c:yVal>
            <c:numRef>
              <c:f>MFO_2!$B$5:$B$10</c:f>
              <c:numCache>
                <c:formatCode>General</c:formatCode>
                <c:ptCount val="6"/>
                <c:pt idx="0">
                  <c:v>0.566</c:v>
                </c:pt>
                <c:pt idx="1">
                  <c:v>0.579</c:v>
                </c:pt>
                <c:pt idx="2">
                  <c:v>0.603</c:v>
                </c:pt>
                <c:pt idx="3">
                  <c:v>0.64</c:v>
                </c:pt>
                <c:pt idx="4">
                  <c:v>0.65</c:v>
                </c:pt>
                <c:pt idx="5">
                  <c:v>0.579</c:v>
                </c:pt>
              </c:numCache>
            </c:numRef>
          </c:yVal>
          <c:smooth val="0"/>
        </c:ser>
        <c:ser>
          <c:idx val="1"/>
          <c:order val="1"/>
          <c:tx>
            <c:v>Paralogs</c:v>
          </c:tx>
          <c:spPr>
            <a:ln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MFO_2!$C$19:$C$24</c:f>
                <c:numCache>
                  <c:formatCode>General</c:formatCode>
                  <c:ptCount val="6"/>
                  <c:pt idx="0">
                    <c:v>0.006</c:v>
                  </c:pt>
                  <c:pt idx="1">
                    <c:v>0.02</c:v>
                  </c:pt>
                  <c:pt idx="2">
                    <c:v>0.015</c:v>
                  </c:pt>
                  <c:pt idx="3">
                    <c:v>0.014</c:v>
                  </c:pt>
                  <c:pt idx="4">
                    <c:v>0.01</c:v>
                  </c:pt>
                  <c:pt idx="5">
                    <c:v>0.009</c:v>
                  </c:pt>
                </c:numCache>
              </c:numRef>
            </c:plus>
            <c:minus>
              <c:numRef>
                <c:f>MFO_2!$C$19:$C$24</c:f>
                <c:numCache>
                  <c:formatCode>General</c:formatCode>
                  <c:ptCount val="6"/>
                  <c:pt idx="0">
                    <c:v>0.006</c:v>
                  </c:pt>
                  <c:pt idx="1">
                    <c:v>0.02</c:v>
                  </c:pt>
                  <c:pt idx="2">
                    <c:v>0.015</c:v>
                  </c:pt>
                  <c:pt idx="3">
                    <c:v>0.014</c:v>
                  </c:pt>
                  <c:pt idx="4">
                    <c:v>0.01</c:v>
                  </c:pt>
                  <c:pt idx="5">
                    <c:v>0.009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MFO_2!$A$19:$A$24</c:f>
              <c:numCache>
                <c:formatCode>General</c:formatCode>
                <c:ptCount val="6"/>
                <c:pt idx="0">
                  <c:v>101.5</c:v>
                </c:pt>
                <c:pt idx="1">
                  <c:v>94.5</c:v>
                </c:pt>
                <c:pt idx="2">
                  <c:v>84.5</c:v>
                </c:pt>
                <c:pt idx="3">
                  <c:v>74.5</c:v>
                </c:pt>
                <c:pt idx="4">
                  <c:v>64.5</c:v>
                </c:pt>
                <c:pt idx="5">
                  <c:v>54.5</c:v>
                </c:pt>
              </c:numCache>
            </c:numRef>
          </c:xVal>
          <c:yVal>
            <c:numRef>
              <c:f>MFO_2!$B$19:$B$24</c:f>
              <c:numCache>
                <c:formatCode>General</c:formatCode>
                <c:ptCount val="6"/>
                <c:pt idx="0">
                  <c:v>0.988</c:v>
                </c:pt>
                <c:pt idx="1">
                  <c:v>0.793</c:v>
                </c:pt>
                <c:pt idx="2">
                  <c:v>0.695</c:v>
                </c:pt>
                <c:pt idx="3">
                  <c:v>0.677</c:v>
                </c:pt>
                <c:pt idx="4">
                  <c:v>0.646</c:v>
                </c:pt>
                <c:pt idx="5">
                  <c:v>0.632</c:v>
                </c:pt>
              </c:numCache>
            </c:numRef>
          </c:yVal>
          <c:smooth val="0"/>
        </c:ser>
        <c:ser>
          <c:idx val="2"/>
          <c:order val="2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MFO_2!$C$33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MFO_2!$C$34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MFO_2!$C$35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MFO_2!$C$36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MFO_2!$C$37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MFO_2!$C$38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MFO_2!$A$33:$A$38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MFO_2!$B$33:$B$38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307528"/>
        <c:axId val="390288792"/>
      </c:scatterChart>
      <c:valAx>
        <c:axId val="469307528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410259608076113"/>
              <c:y val="0.906408957378334"/>
            </c:manualLayout>
          </c:layout>
          <c:overlay val="0"/>
        </c:title>
        <c:numFmt formatCode="@" sourceLinked="0"/>
        <c:majorTickMark val="none"/>
        <c:minorTickMark val="none"/>
        <c:tickLblPos val="none"/>
        <c:spPr>
          <a:noFill/>
          <a:ln w="19050">
            <a:solidFill>
              <a:schemeClr val="tx1"/>
            </a:solidFill>
          </a:ln>
        </c:spPr>
        <c:crossAx val="390288792"/>
        <c:crosses val="autoZero"/>
        <c:crossBetween val="midCat"/>
        <c:majorUnit val="10.0"/>
      </c:valAx>
      <c:valAx>
        <c:axId val="390288792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328032441709792"/>
              <c:y val="0.115003884508906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469307528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2" l="0.700000000000001" r="0.700000000000001" t="0.750000000000002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031128506653"/>
          <c:y val="0.0286730849025876"/>
          <c:w val="0.805230165733304"/>
          <c:h val="0.768732353129723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BPO_2!$C$5:$C$10</c:f>
                <c:numCache>
                  <c:formatCode>General</c:formatCode>
                  <c:ptCount val="6"/>
                  <c:pt idx="0">
                    <c:v>0.04</c:v>
                  </c:pt>
                  <c:pt idx="1">
                    <c:v>0.009</c:v>
                  </c:pt>
                  <c:pt idx="2">
                    <c:v>0.011</c:v>
                  </c:pt>
                  <c:pt idx="3">
                    <c:v>0.015</c:v>
                  </c:pt>
                  <c:pt idx="4">
                    <c:v>0.023</c:v>
                  </c:pt>
                  <c:pt idx="5">
                    <c:v>0.034</c:v>
                  </c:pt>
                </c:numCache>
              </c:numRef>
            </c:plus>
            <c:minus>
              <c:numRef>
                <c:f>BPO_2!$C$5:$C$10</c:f>
                <c:numCache>
                  <c:formatCode>General</c:formatCode>
                  <c:ptCount val="6"/>
                  <c:pt idx="0">
                    <c:v>0.04</c:v>
                  </c:pt>
                  <c:pt idx="1">
                    <c:v>0.009</c:v>
                  </c:pt>
                  <c:pt idx="2">
                    <c:v>0.011</c:v>
                  </c:pt>
                  <c:pt idx="3">
                    <c:v>0.015</c:v>
                  </c:pt>
                  <c:pt idx="4">
                    <c:v>0.023</c:v>
                  </c:pt>
                  <c:pt idx="5">
                    <c:v>0.034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BPO_2!$A$5:$A$10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95.5</c:v>
                </c:pt>
                <c:pt idx="2">
                  <c:v>85.5</c:v>
                </c:pt>
                <c:pt idx="3">
                  <c:v>75.5</c:v>
                </c:pt>
                <c:pt idx="4">
                  <c:v>65.5</c:v>
                </c:pt>
                <c:pt idx="5">
                  <c:v>55.5</c:v>
                </c:pt>
              </c:numCache>
            </c:numRef>
          </c:xVal>
          <c:yVal>
            <c:numRef>
              <c:f>BPO_2!$B$5:$B$10</c:f>
              <c:numCache>
                <c:formatCode>General</c:formatCode>
                <c:ptCount val="6"/>
                <c:pt idx="0">
                  <c:v>0.375</c:v>
                </c:pt>
                <c:pt idx="1">
                  <c:v>0.382</c:v>
                </c:pt>
                <c:pt idx="2">
                  <c:v>0.399</c:v>
                </c:pt>
                <c:pt idx="3">
                  <c:v>0.403</c:v>
                </c:pt>
                <c:pt idx="4">
                  <c:v>0.407</c:v>
                </c:pt>
                <c:pt idx="5">
                  <c:v>0.349</c:v>
                </c:pt>
              </c:numCache>
            </c:numRef>
          </c:yVal>
          <c:smooth val="0"/>
        </c:ser>
        <c:ser>
          <c:idx val="1"/>
          <c:order val="1"/>
          <c:tx>
            <c:v>Paralogs</c:v>
          </c:tx>
          <c:spPr>
            <a:ln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BPO_2!$C$19:$C$24</c:f>
                <c:numCache>
                  <c:formatCode>General</c:formatCode>
                  <c:ptCount val="6"/>
                  <c:pt idx="0">
                    <c:v>0.013</c:v>
                  </c:pt>
                  <c:pt idx="1">
                    <c:v>0.029</c:v>
                  </c:pt>
                  <c:pt idx="2">
                    <c:v>0.019</c:v>
                  </c:pt>
                  <c:pt idx="3">
                    <c:v>0.014</c:v>
                  </c:pt>
                  <c:pt idx="4">
                    <c:v>0.01</c:v>
                  </c:pt>
                  <c:pt idx="5">
                    <c:v>0.008</c:v>
                  </c:pt>
                </c:numCache>
              </c:numRef>
            </c:plus>
            <c:minus>
              <c:numRef>
                <c:f>BPO_2!$C$19:$C$24</c:f>
                <c:numCache>
                  <c:formatCode>General</c:formatCode>
                  <c:ptCount val="6"/>
                  <c:pt idx="0">
                    <c:v>0.013</c:v>
                  </c:pt>
                  <c:pt idx="1">
                    <c:v>0.029</c:v>
                  </c:pt>
                  <c:pt idx="2">
                    <c:v>0.019</c:v>
                  </c:pt>
                  <c:pt idx="3">
                    <c:v>0.014</c:v>
                  </c:pt>
                  <c:pt idx="4">
                    <c:v>0.01</c:v>
                  </c:pt>
                  <c:pt idx="5">
                    <c:v>0.008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BPO_2!$A$19:$A$24</c:f>
              <c:numCache>
                <c:formatCode>General</c:formatCode>
                <c:ptCount val="6"/>
                <c:pt idx="0">
                  <c:v>101.5</c:v>
                </c:pt>
                <c:pt idx="1">
                  <c:v>94.5</c:v>
                </c:pt>
                <c:pt idx="2">
                  <c:v>84.5</c:v>
                </c:pt>
                <c:pt idx="3">
                  <c:v>74.5</c:v>
                </c:pt>
                <c:pt idx="4">
                  <c:v>64.5</c:v>
                </c:pt>
                <c:pt idx="5">
                  <c:v>54.5</c:v>
                </c:pt>
              </c:numCache>
            </c:numRef>
          </c:xVal>
          <c:yVal>
            <c:numRef>
              <c:f>BPO_2!$B$19:$B$24</c:f>
              <c:numCache>
                <c:formatCode>General</c:formatCode>
                <c:ptCount val="6"/>
                <c:pt idx="0">
                  <c:v>0.978</c:v>
                </c:pt>
                <c:pt idx="1">
                  <c:v>0.549</c:v>
                </c:pt>
                <c:pt idx="2">
                  <c:v>0.59</c:v>
                </c:pt>
                <c:pt idx="3">
                  <c:v>0.533</c:v>
                </c:pt>
                <c:pt idx="4">
                  <c:v>0.439</c:v>
                </c:pt>
                <c:pt idx="5">
                  <c:v>0.442</c:v>
                </c:pt>
              </c:numCache>
            </c:numRef>
          </c:yVal>
          <c:smooth val="0"/>
        </c:ser>
        <c:ser>
          <c:idx val="2"/>
          <c:order val="2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BPO_2!$C$33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BPO_2!$C$34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BPO_2!$C$35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BPO_2!$C$36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BPO_2!$C$37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BPO_2!$C$38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BPO_2!$A$33:$A$38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BPO_2!$B$33:$B$38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996760"/>
        <c:axId val="469637960"/>
      </c:scatterChart>
      <c:valAx>
        <c:axId val="391996760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410259608076113"/>
              <c:y val="0.906408957378334"/>
            </c:manualLayout>
          </c:layout>
          <c:overlay val="0"/>
        </c:title>
        <c:numFmt formatCode="@" sourceLinked="0"/>
        <c:majorTickMark val="none"/>
        <c:minorTickMark val="none"/>
        <c:tickLblPos val="none"/>
        <c:spPr>
          <a:noFill/>
          <a:ln w="19050">
            <a:solidFill>
              <a:schemeClr val="tx1"/>
            </a:solidFill>
          </a:ln>
        </c:spPr>
        <c:crossAx val="469637960"/>
        <c:crosses val="autoZero"/>
        <c:crossBetween val="midCat"/>
        <c:majorUnit val="10.0"/>
      </c:valAx>
      <c:valAx>
        <c:axId val="469637960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328032441709792"/>
              <c:y val="0.115003884508906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391996760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2" l="0.700000000000001" r="0.700000000000001" t="0.750000000000002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573334747955"/>
          <c:y val="0.0673555674237986"/>
          <c:w val="0.830868477586934"/>
          <c:h val="0.764510914266819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BPO_4!$C$5:$C$10</c:f>
                <c:numCache>
                  <c:formatCode>General</c:formatCode>
                  <c:ptCount val="6"/>
                  <c:pt idx="0">
                    <c:v>0.04</c:v>
                  </c:pt>
                  <c:pt idx="1">
                    <c:v>0.009</c:v>
                  </c:pt>
                  <c:pt idx="2">
                    <c:v>0.011</c:v>
                  </c:pt>
                  <c:pt idx="3">
                    <c:v>0.015</c:v>
                  </c:pt>
                  <c:pt idx="4">
                    <c:v>0.023</c:v>
                  </c:pt>
                  <c:pt idx="5">
                    <c:v>0.034</c:v>
                  </c:pt>
                </c:numCache>
              </c:numRef>
            </c:plus>
            <c:minus>
              <c:numRef>
                <c:f>BPO_4!$C$5:$C$10</c:f>
                <c:numCache>
                  <c:formatCode>General</c:formatCode>
                  <c:ptCount val="6"/>
                  <c:pt idx="0">
                    <c:v>0.04</c:v>
                  </c:pt>
                  <c:pt idx="1">
                    <c:v>0.009</c:v>
                  </c:pt>
                  <c:pt idx="2">
                    <c:v>0.011</c:v>
                  </c:pt>
                  <c:pt idx="3">
                    <c:v>0.015</c:v>
                  </c:pt>
                  <c:pt idx="4">
                    <c:v>0.023</c:v>
                  </c:pt>
                  <c:pt idx="5">
                    <c:v>0.034</c:v>
                  </c:pt>
                </c:numCache>
              </c:numRef>
            </c:minus>
            <c:spPr>
              <a:ln w="12700">
                <a:solidFill>
                  <a:sysClr val="windowText" lastClr="000000">
                    <a:lumMod val="50000"/>
                    <a:lumOff val="50000"/>
                  </a:sys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95.75</c:v>
                </c:pt>
                <c:pt idx="2">
                  <c:v>85.75</c:v>
                </c:pt>
                <c:pt idx="3">
                  <c:v>75.75</c:v>
                </c:pt>
                <c:pt idx="4">
                  <c:v>65.75</c:v>
                </c:pt>
                <c:pt idx="5">
                  <c:v>55.75</c:v>
                </c:pt>
              </c:numCache>
            </c:numRef>
          </c:xVal>
          <c:yVal>
            <c:numRef>
              <c:f>BPO_4!$B$5:$B$10</c:f>
              <c:numCache>
                <c:formatCode>General</c:formatCode>
                <c:ptCount val="6"/>
                <c:pt idx="0">
                  <c:v>0.375</c:v>
                </c:pt>
                <c:pt idx="1">
                  <c:v>0.382</c:v>
                </c:pt>
                <c:pt idx="2">
                  <c:v>0.399</c:v>
                </c:pt>
                <c:pt idx="3">
                  <c:v>0.403</c:v>
                </c:pt>
                <c:pt idx="4">
                  <c:v>0.407</c:v>
                </c:pt>
                <c:pt idx="5">
                  <c:v>0.349</c:v>
                </c:pt>
              </c:numCache>
            </c:numRef>
          </c:yVal>
          <c:smooth val="0"/>
        </c:ser>
        <c:ser>
          <c:idx val="1"/>
          <c:order val="1"/>
          <c:tx>
            <c:v>Inparalogs</c:v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BPO_4!$C$19:$C$24</c:f>
                <c:numCache>
                  <c:formatCode>General</c:formatCode>
                  <c:ptCount val="6"/>
                  <c:pt idx="0">
                    <c:v>0.035</c:v>
                  </c:pt>
                  <c:pt idx="1">
                    <c:v>0.038</c:v>
                  </c:pt>
                  <c:pt idx="2">
                    <c:v>0.042</c:v>
                  </c:pt>
                  <c:pt idx="3">
                    <c:v>0.044</c:v>
                  </c:pt>
                  <c:pt idx="4">
                    <c:v>0.08</c:v>
                  </c:pt>
                  <c:pt idx="5">
                    <c:v>0.061</c:v>
                  </c:pt>
                </c:numCache>
              </c:numRef>
            </c:plus>
            <c:minus>
              <c:numRef>
                <c:f>BPO_4!$C$19:$C$24</c:f>
                <c:numCache>
                  <c:formatCode>General</c:formatCode>
                  <c:ptCount val="6"/>
                  <c:pt idx="0">
                    <c:v>0.035</c:v>
                  </c:pt>
                  <c:pt idx="1">
                    <c:v>0.038</c:v>
                  </c:pt>
                  <c:pt idx="2">
                    <c:v>0.042</c:v>
                  </c:pt>
                  <c:pt idx="3">
                    <c:v>0.044</c:v>
                  </c:pt>
                  <c:pt idx="4">
                    <c:v>0.08</c:v>
                  </c:pt>
                  <c:pt idx="5">
                    <c:v>0.061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BPO_4!$A$19:$A$24</c:f>
              <c:numCache>
                <c:formatCode>General</c:formatCode>
                <c:ptCount val="6"/>
                <c:pt idx="0">
                  <c:v>100.5</c:v>
                </c:pt>
                <c:pt idx="1">
                  <c:v>95.25</c:v>
                </c:pt>
                <c:pt idx="2">
                  <c:v>85.25</c:v>
                </c:pt>
                <c:pt idx="3">
                  <c:v>75.25</c:v>
                </c:pt>
                <c:pt idx="4">
                  <c:v>65.25</c:v>
                </c:pt>
                <c:pt idx="5">
                  <c:v>55.25</c:v>
                </c:pt>
              </c:numCache>
            </c:numRef>
          </c:xVal>
          <c:yVal>
            <c:numRef>
              <c:f>BPO_4!$B$19:$B$24</c:f>
              <c:numCache>
                <c:formatCode>General</c:formatCode>
                <c:ptCount val="6"/>
                <c:pt idx="0">
                  <c:v>0.965</c:v>
                </c:pt>
                <c:pt idx="1">
                  <c:v>0.818</c:v>
                </c:pt>
                <c:pt idx="2">
                  <c:v>0.783</c:v>
                </c:pt>
                <c:pt idx="3">
                  <c:v>0.696</c:v>
                </c:pt>
                <c:pt idx="4">
                  <c:v>0.54</c:v>
                </c:pt>
                <c:pt idx="5">
                  <c:v>0.742</c:v>
                </c:pt>
              </c:numCache>
            </c:numRef>
          </c:yVal>
          <c:smooth val="0"/>
        </c:ser>
        <c:ser>
          <c:idx val="3"/>
          <c:order val="2"/>
          <c:tx>
            <c:v>Within-spec. Outparalogs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BPO_4!$C$47:$C$52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0.048</c:v>
                  </c:pt>
                  <c:pt idx="2">
                    <c:v>0.026</c:v>
                  </c:pt>
                  <c:pt idx="3">
                    <c:v>0.018</c:v>
                  </c:pt>
                  <c:pt idx="4">
                    <c:v>0.014</c:v>
                  </c:pt>
                  <c:pt idx="5">
                    <c:v>0.012</c:v>
                  </c:pt>
                </c:numCache>
              </c:numRef>
            </c:plus>
            <c:minus>
              <c:numRef>
                <c:f>BPO_4!$C$47:$C$52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0.048</c:v>
                  </c:pt>
                  <c:pt idx="2">
                    <c:v>0.026</c:v>
                  </c:pt>
                  <c:pt idx="3">
                    <c:v>0.018</c:v>
                  </c:pt>
                  <c:pt idx="4">
                    <c:v>0.014</c:v>
                  </c:pt>
                  <c:pt idx="5">
                    <c:v>0.012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BPO_4!$A$47:$A$52</c:f>
              <c:numCache>
                <c:formatCode>General</c:formatCode>
                <c:ptCount val="6"/>
                <c:pt idx="0">
                  <c:v>101.5</c:v>
                </c:pt>
                <c:pt idx="1">
                  <c:v>94.25</c:v>
                </c:pt>
                <c:pt idx="2">
                  <c:v>84.25</c:v>
                </c:pt>
                <c:pt idx="3">
                  <c:v>74.25</c:v>
                </c:pt>
                <c:pt idx="4">
                  <c:v>64.25</c:v>
                </c:pt>
                <c:pt idx="5">
                  <c:v>54.25</c:v>
                </c:pt>
              </c:numCache>
            </c:numRef>
          </c:xVal>
          <c:yVal>
            <c:numRef>
              <c:f>BPO_4!$B$47:$B$52</c:f>
              <c:numCache>
                <c:formatCode>General</c:formatCode>
                <c:ptCount val="6"/>
                <c:pt idx="0">
                  <c:v>1.0</c:v>
                </c:pt>
                <c:pt idx="1">
                  <c:v>0.523</c:v>
                </c:pt>
                <c:pt idx="2">
                  <c:v>0.646</c:v>
                </c:pt>
                <c:pt idx="3">
                  <c:v>0.637</c:v>
                </c:pt>
                <c:pt idx="4">
                  <c:v>0.522</c:v>
                </c:pt>
                <c:pt idx="5">
                  <c:v>0.513</c:v>
                </c:pt>
              </c:numCache>
            </c:numRef>
          </c:yVal>
          <c:smooth val="0"/>
        </c:ser>
        <c:ser>
          <c:idx val="4"/>
          <c:order val="3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BPO_4!$C$60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BPO_4!$C$61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BPO_4!$C$62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BPO_4!$C$63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BPO_4!$C$64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BPO_4!$C$65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BPO_4!$A$60:$A$65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BPO_4!$B$60:$B$65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ser>
          <c:idx val="2"/>
          <c:order val="4"/>
          <c:tx>
            <c:v>Between-spec. Outparalogs</c:v>
          </c:tx>
          <c:spPr>
            <a:ln>
              <a:solidFill>
                <a:schemeClr val="accent4"/>
              </a:solidFill>
            </a:ln>
          </c:spPr>
          <c:marker>
            <c:symbol val="circle"/>
            <c:size val="7"/>
            <c:spPr>
              <a:solidFill>
                <a:srgbClr val="8064A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BPO_4!$C$33:$C$38</c:f>
                <c:numCache>
                  <c:formatCode>General</c:formatCode>
                  <c:ptCount val="6"/>
                  <c:pt idx="0">
                    <c:v>0.223</c:v>
                  </c:pt>
                  <c:pt idx="1">
                    <c:v>0.034</c:v>
                  </c:pt>
                  <c:pt idx="2">
                    <c:v>0.028</c:v>
                  </c:pt>
                  <c:pt idx="3">
                    <c:v>0.016</c:v>
                  </c:pt>
                  <c:pt idx="4">
                    <c:v>0.012</c:v>
                  </c:pt>
                  <c:pt idx="5">
                    <c:v>0.01</c:v>
                  </c:pt>
                </c:numCache>
              </c:numRef>
            </c:plus>
            <c:minus>
              <c:numRef>
                <c:f>BPO_4!$C$33:$C$38</c:f>
                <c:numCache>
                  <c:formatCode>General</c:formatCode>
                  <c:ptCount val="6"/>
                  <c:pt idx="0">
                    <c:v>0.223</c:v>
                  </c:pt>
                  <c:pt idx="1">
                    <c:v>0.034</c:v>
                  </c:pt>
                  <c:pt idx="2">
                    <c:v>0.028</c:v>
                  </c:pt>
                  <c:pt idx="3">
                    <c:v>0.016</c:v>
                  </c:pt>
                  <c:pt idx="4">
                    <c:v>0.012</c:v>
                  </c:pt>
                  <c:pt idx="5">
                    <c:v>0.01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BPO_4!$A$33:$A$38</c:f>
              <c:numCache>
                <c:formatCode>General</c:formatCode>
                <c:ptCount val="6"/>
                <c:pt idx="0">
                  <c:v>100.5</c:v>
                </c:pt>
                <c:pt idx="1">
                  <c:v>94.75</c:v>
                </c:pt>
                <c:pt idx="2">
                  <c:v>84.75</c:v>
                </c:pt>
                <c:pt idx="3">
                  <c:v>74.75</c:v>
                </c:pt>
                <c:pt idx="4">
                  <c:v>64.75</c:v>
                </c:pt>
                <c:pt idx="5">
                  <c:v>54.75</c:v>
                </c:pt>
              </c:numCache>
            </c:numRef>
          </c:xVal>
          <c:yVal>
            <c:numRef>
              <c:f>BPO_4!$B$33:$B$38</c:f>
              <c:numCache>
                <c:formatCode>General</c:formatCode>
                <c:ptCount val="6"/>
                <c:pt idx="0">
                  <c:v>0.623</c:v>
                </c:pt>
                <c:pt idx="1">
                  <c:v>0.342</c:v>
                </c:pt>
                <c:pt idx="2">
                  <c:v>0.417</c:v>
                </c:pt>
                <c:pt idx="3">
                  <c:v>0.342</c:v>
                </c:pt>
                <c:pt idx="4">
                  <c:v>0.331</c:v>
                </c:pt>
                <c:pt idx="5">
                  <c:v>0.342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890776"/>
        <c:axId val="390398904"/>
      </c:scatterChart>
      <c:valAx>
        <c:axId val="390890776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393355611581665"/>
              <c:y val="0.919086282579386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spPr>
          <a:ln w="19050">
            <a:solidFill>
              <a:sysClr val="windowText" lastClr="000000"/>
            </a:solidFill>
          </a:ln>
        </c:spPr>
        <c:crossAx val="390398904"/>
        <c:crosses val="autoZero"/>
        <c:crossBetween val="midCat"/>
        <c:majorUnit val="10.0"/>
      </c:valAx>
      <c:valAx>
        <c:axId val="390398904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137060138203884"/>
              <c:y val="0.159783375634942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390890776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3" l="0.700000000000001" r="0.700000000000001" t="0.750000000000003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573334747955"/>
          <c:y val="0.0673555674237986"/>
          <c:w val="0.830868477586934"/>
          <c:h val="0.764510914266819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MFO_4!$C$5:$C$10</c:f>
                <c:numCache>
                  <c:formatCode>General</c:formatCode>
                  <c:ptCount val="6"/>
                  <c:pt idx="0">
                    <c:v>0.048</c:v>
                  </c:pt>
                  <c:pt idx="1">
                    <c:v>0.011</c:v>
                  </c:pt>
                  <c:pt idx="2">
                    <c:v>0.014</c:v>
                  </c:pt>
                  <c:pt idx="3">
                    <c:v>0.019</c:v>
                  </c:pt>
                  <c:pt idx="4">
                    <c:v>0.028</c:v>
                  </c:pt>
                  <c:pt idx="5">
                    <c:v>0.047</c:v>
                  </c:pt>
                </c:numCache>
              </c:numRef>
            </c:plus>
            <c:minus>
              <c:numRef>
                <c:f>MFO_4!$C$5:$C$10</c:f>
                <c:numCache>
                  <c:formatCode>General</c:formatCode>
                  <c:ptCount val="6"/>
                  <c:pt idx="0">
                    <c:v>0.048</c:v>
                  </c:pt>
                  <c:pt idx="1">
                    <c:v>0.011</c:v>
                  </c:pt>
                  <c:pt idx="2">
                    <c:v>0.014</c:v>
                  </c:pt>
                  <c:pt idx="3">
                    <c:v>0.019</c:v>
                  </c:pt>
                  <c:pt idx="4">
                    <c:v>0.028</c:v>
                  </c:pt>
                  <c:pt idx="5">
                    <c:v>0.047</c:v>
                  </c:pt>
                </c:numCache>
              </c:numRef>
            </c:minus>
            <c:spPr>
              <a:ln w="12700">
                <a:solidFill>
                  <a:sysClr val="windowText" lastClr="000000">
                    <a:lumMod val="50000"/>
                    <a:lumOff val="50000"/>
                  </a:sys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95.75</c:v>
                </c:pt>
                <c:pt idx="2">
                  <c:v>85.75</c:v>
                </c:pt>
                <c:pt idx="3">
                  <c:v>75.75</c:v>
                </c:pt>
                <c:pt idx="4">
                  <c:v>65.75</c:v>
                </c:pt>
                <c:pt idx="5">
                  <c:v>55.75</c:v>
                </c:pt>
              </c:numCache>
            </c:numRef>
          </c:xVal>
          <c:yVal>
            <c:numRef>
              <c:f>MFO_4!$B$5:$B$10</c:f>
              <c:numCache>
                <c:formatCode>General</c:formatCode>
                <c:ptCount val="6"/>
                <c:pt idx="0">
                  <c:v>0.566</c:v>
                </c:pt>
                <c:pt idx="1">
                  <c:v>0.579</c:v>
                </c:pt>
                <c:pt idx="2">
                  <c:v>0.603</c:v>
                </c:pt>
                <c:pt idx="3">
                  <c:v>0.64</c:v>
                </c:pt>
                <c:pt idx="4">
                  <c:v>0.65</c:v>
                </c:pt>
                <c:pt idx="5">
                  <c:v>0.579</c:v>
                </c:pt>
              </c:numCache>
            </c:numRef>
          </c:yVal>
          <c:smooth val="0"/>
        </c:ser>
        <c:ser>
          <c:idx val="1"/>
          <c:order val="1"/>
          <c:tx>
            <c:v>Inparalogs</c:v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0.034</c:v>
                  </c:pt>
                  <c:pt idx="2">
                    <c:v>0.032</c:v>
                  </c:pt>
                  <c:pt idx="3">
                    <c:v>0.064</c:v>
                  </c:pt>
                  <c:pt idx="4">
                    <c:v>0.081</c:v>
                  </c:pt>
                  <c:pt idx="5">
                    <c:v>0.07</c:v>
                  </c:pt>
                </c:numCache>
              </c:numRef>
            </c:plus>
            <c:minus>
              <c:numRef>
                <c:f>MFO_4!$C$19:$C$24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0.034</c:v>
                  </c:pt>
                  <c:pt idx="2">
                    <c:v>0.032</c:v>
                  </c:pt>
                  <c:pt idx="3">
                    <c:v>0.064</c:v>
                  </c:pt>
                  <c:pt idx="4">
                    <c:v>0.081</c:v>
                  </c:pt>
                  <c:pt idx="5">
                    <c:v>0.07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MFO_4!$A$19:$A$24</c:f>
              <c:numCache>
                <c:formatCode>General</c:formatCode>
                <c:ptCount val="6"/>
                <c:pt idx="0" formatCode="0.00">
                  <c:v>100.5</c:v>
                </c:pt>
                <c:pt idx="1">
                  <c:v>95.25</c:v>
                </c:pt>
                <c:pt idx="2">
                  <c:v>85.25</c:v>
                </c:pt>
                <c:pt idx="3">
                  <c:v>75.25</c:v>
                </c:pt>
                <c:pt idx="4">
                  <c:v>65.25</c:v>
                </c:pt>
                <c:pt idx="5">
                  <c:v>55.25</c:v>
                </c:pt>
              </c:numCache>
            </c:numRef>
          </c:xVal>
          <c:yVal>
            <c:numRef>
              <c:f>MFO_4!$B$19:$B$24</c:f>
              <c:numCache>
                <c:formatCode>General</c:formatCode>
                <c:ptCount val="6"/>
                <c:pt idx="0">
                  <c:v>1.0</c:v>
                </c:pt>
                <c:pt idx="1">
                  <c:v>0.884</c:v>
                </c:pt>
                <c:pt idx="2">
                  <c:v>0.849</c:v>
                </c:pt>
                <c:pt idx="3">
                  <c:v>0.739</c:v>
                </c:pt>
                <c:pt idx="4">
                  <c:v>0.864</c:v>
                </c:pt>
                <c:pt idx="5">
                  <c:v>0.677</c:v>
                </c:pt>
              </c:numCache>
            </c:numRef>
          </c:yVal>
          <c:smooth val="0"/>
        </c:ser>
        <c:ser>
          <c:idx val="3"/>
          <c:order val="2"/>
          <c:tx>
            <c:v>Within-spec. Outparalogs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MFO_4!$C$47:$C$52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0.023</c:v>
                  </c:pt>
                  <c:pt idx="2">
                    <c:v>0.019</c:v>
                  </c:pt>
                  <c:pt idx="3">
                    <c:v>0.016</c:v>
                  </c:pt>
                  <c:pt idx="4">
                    <c:v>0.012</c:v>
                  </c:pt>
                  <c:pt idx="5">
                    <c:v>0.011</c:v>
                  </c:pt>
                </c:numCache>
              </c:numRef>
            </c:plus>
            <c:minus>
              <c:numRef>
                <c:f>MFO_4!$C$47:$C$52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0.023</c:v>
                  </c:pt>
                  <c:pt idx="2">
                    <c:v>0.019</c:v>
                  </c:pt>
                  <c:pt idx="3">
                    <c:v>0.016</c:v>
                  </c:pt>
                  <c:pt idx="4">
                    <c:v>0.012</c:v>
                  </c:pt>
                  <c:pt idx="5">
                    <c:v>0.011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MFO_4!$A$47:$A$52</c:f>
              <c:numCache>
                <c:formatCode>General</c:formatCode>
                <c:ptCount val="6"/>
                <c:pt idx="0">
                  <c:v>101.5</c:v>
                </c:pt>
                <c:pt idx="1">
                  <c:v>94.25</c:v>
                </c:pt>
                <c:pt idx="2">
                  <c:v>84.25</c:v>
                </c:pt>
                <c:pt idx="3">
                  <c:v>74.25</c:v>
                </c:pt>
                <c:pt idx="4">
                  <c:v>64.25</c:v>
                </c:pt>
                <c:pt idx="5">
                  <c:v>54.25</c:v>
                </c:pt>
              </c:numCache>
            </c:numRef>
          </c:xVal>
          <c:yVal>
            <c:numRef>
              <c:f>MFO_4!$B$47:$B$52</c:f>
              <c:numCache>
                <c:formatCode>General</c:formatCode>
                <c:ptCount val="6"/>
                <c:pt idx="0">
                  <c:v>1.0</c:v>
                </c:pt>
                <c:pt idx="1">
                  <c:v>0.864</c:v>
                </c:pt>
                <c:pt idx="2">
                  <c:v>0.762</c:v>
                </c:pt>
                <c:pt idx="3">
                  <c:v>0.768</c:v>
                </c:pt>
                <c:pt idx="4">
                  <c:v>0.706</c:v>
                </c:pt>
                <c:pt idx="5">
                  <c:v>0.696</c:v>
                </c:pt>
              </c:numCache>
            </c:numRef>
          </c:yVal>
          <c:smooth val="0"/>
        </c:ser>
        <c:ser>
          <c:idx val="4"/>
          <c:order val="3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MFO_4!$C$60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MFO_4!$C$61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MFO_4!$C$62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MFO_4!$C$63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MFO_4!$C$64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MFO_4!$C$65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MFO_4!$A$60:$A$65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MFO_4!$B$60:$B$65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ser>
          <c:idx val="2"/>
          <c:order val="4"/>
          <c:tx>
            <c:v>Between-spec. Outparalogs</c:v>
          </c:tx>
          <c:spPr>
            <a:ln>
              <a:solidFill>
                <a:schemeClr val="accent4"/>
              </a:solidFill>
            </a:ln>
          </c:spPr>
          <c:marker>
            <c:symbol val="circle"/>
            <c:size val="7"/>
            <c:spPr>
              <a:solidFill>
                <a:srgbClr val="8064A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MFO_4!$C$33:$C$38</c:f>
                <c:numCache>
                  <c:formatCode>General</c:formatCode>
                  <c:ptCount val="6"/>
                  <c:pt idx="0">
                    <c:v>0.042</c:v>
                  </c:pt>
                  <c:pt idx="1">
                    <c:v>0.039</c:v>
                  </c:pt>
                  <c:pt idx="2">
                    <c:v>0.025</c:v>
                  </c:pt>
                  <c:pt idx="3">
                    <c:v>0.022</c:v>
                  </c:pt>
                  <c:pt idx="4">
                    <c:v>0.016</c:v>
                  </c:pt>
                  <c:pt idx="5">
                    <c:v>0.015</c:v>
                  </c:pt>
                </c:numCache>
              </c:numRef>
            </c:plus>
            <c:minus>
              <c:numRef>
                <c:f>MFO_4!$C$33:$C$38</c:f>
                <c:numCache>
                  <c:formatCode>General</c:formatCode>
                  <c:ptCount val="6"/>
                  <c:pt idx="0">
                    <c:v>0.042</c:v>
                  </c:pt>
                  <c:pt idx="1">
                    <c:v>0.039</c:v>
                  </c:pt>
                  <c:pt idx="2">
                    <c:v>0.025</c:v>
                  </c:pt>
                  <c:pt idx="3">
                    <c:v>0.022</c:v>
                  </c:pt>
                  <c:pt idx="4">
                    <c:v>0.016</c:v>
                  </c:pt>
                  <c:pt idx="5">
                    <c:v>0.015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MFO_4!$A$33:$A$38</c:f>
              <c:numCache>
                <c:formatCode>General</c:formatCode>
                <c:ptCount val="6"/>
                <c:pt idx="0">
                  <c:v>100.5</c:v>
                </c:pt>
                <c:pt idx="1">
                  <c:v>94.75</c:v>
                </c:pt>
                <c:pt idx="2">
                  <c:v>84.75</c:v>
                </c:pt>
                <c:pt idx="3">
                  <c:v>74.75</c:v>
                </c:pt>
                <c:pt idx="4">
                  <c:v>64.75</c:v>
                </c:pt>
                <c:pt idx="5">
                  <c:v>54.75</c:v>
                </c:pt>
              </c:numCache>
            </c:numRef>
          </c:xVal>
          <c:yVal>
            <c:numRef>
              <c:f>MFO_4!$B$33:$B$38</c:f>
              <c:numCache>
                <c:formatCode>General</c:formatCode>
                <c:ptCount val="6"/>
                <c:pt idx="0">
                  <c:v>0.919</c:v>
                </c:pt>
                <c:pt idx="1">
                  <c:v>0.668</c:v>
                </c:pt>
                <c:pt idx="2">
                  <c:v>0.563</c:v>
                </c:pt>
                <c:pt idx="3">
                  <c:v>0.544</c:v>
                </c:pt>
                <c:pt idx="4">
                  <c:v>0.561</c:v>
                </c:pt>
                <c:pt idx="5">
                  <c:v>0.544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832920"/>
        <c:axId val="464705624"/>
      </c:scatterChart>
      <c:valAx>
        <c:axId val="387832920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393355611581665"/>
              <c:y val="0.919086282579386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spPr>
          <a:ln w="19050">
            <a:solidFill>
              <a:sysClr val="windowText" lastClr="000000"/>
            </a:solidFill>
          </a:ln>
        </c:spPr>
        <c:crossAx val="464705624"/>
        <c:crosses val="autoZero"/>
        <c:crossBetween val="midCat"/>
        <c:majorUnit val="10.0"/>
      </c:valAx>
      <c:valAx>
        <c:axId val="464705624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137060138203884"/>
              <c:y val="0.159783375634942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387832920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3" l="0.700000000000001" r="0.700000000000001" t="0.750000000000003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18301</xdr:colOff>
      <xdr:row>6</xdr:row>
      <xdr:rowOff>17266</xdr:rowOff>
    </xdr:from>
    <xdr:to>
      <xdr:col>13</xdr:col>
      <xdr:colOff>1</xdr:colOff>
      <xdr:row>22</xdr:row>
      <xdr:rowOff>13607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18301</xdr:colOff>
      <xdr:row>6</xdr:row>
      <xdr:rowOff>17266</xdr:rowOff>
    </xdr:from>
    <xdr:to>
      <xdr:col>13</xdr:col>
      <xdr:colOff>1</xdr:colOff>
      <xdr:row>22</xdr:row>
      <xdr:rowOff>13607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6805</xdr:colOff>
      <xdr:row>6</xdr:row>
      <xdr:rowOff>6803</xdr:rowOff>
    </xdr:from>
    <xdr:to>
      <xdr:col>13</xdr:col>
      <xdr:colOff>0</xdr:colOff>
      <xdr:row>25</xdr:row>
      <xdr:rowOff>146537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0.00499</cdr:x>
      <cdr:y>0.00756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6805</xdr:colOff>
      <xdr:row>6</xdr:row>
      <xdr:rowOff>6803</xdr:rowOff>
    </xdr:from>
    <xdr:to>
      <xdr:col>13</xdr:col>
      <xdr:colOff>0</xdr:colOff>
      <xdr:row>25</xdr:row>
      <xdr:rowOff>146537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0.00499</cdr:x>
      <cdr:y>0.00756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zoomScale="130" zoomScaleNormal="130" zoomScalePageLayoutView="130" workbookViewId="0">
      <selection sqref="A1:D1048576"/>
    </sheetView>
  </sheetViews>
  <sheetFormatPr baseColWidth="10" defaultColWidth="8.83203125" defaultRowHeight="14" x14ac:dyDescent="0"/>
  <cols>
    <col min="1" max="1" width="6.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17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B5" s="2">
        <v>0.56599999999999995</v>
      </c>
      <c r="C5" s="2">
        <v>4.8000000000000001E-2</v>
      </c>
      <c r="D5" s="2">
        <v>43</v>
      </c>
    </row>
    <row r="6" spans="1:14">
      <c r="A6" s="2">
        <v>95.5</v>
      </c>
      <c r="B6" s="2">
        <v>0.57899999999999996</v>
      </c>
      <c r="C6" s="2">
        <v>1.0999999999999999E-2</v>
      </c>
      <c r="D6" s="2">
        <v>959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85.5</v>
      </c>
      <c r="B7" s="2">
        <v>0.60299999999999998</v>
      </c>
      <c r="C7" s="2">
        <v>1.4E-2</v>
      </c>
      <c r="D7" s="2">
        <v>608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75.5</v>
      </c>
      <c r="B8" s="2">
        <v>0.64</v>
      </c>
      <c r="C8" s="2">
        <v>1.9E-2</v>
      </c>
      <c r="D8" s="2">
        <v>300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65.5</v>
      </c>
      <c r="B9" s="2">
        <v>0.65</v>
      </c>
      <c r="C9" s="2">
        <v>2.8000000000000001E-2</v>
      </c>
      <c r="D9" s="2">
        <v>127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55.5</v>
      </c>
      <c r="B10" s="2">
        <v>0.57899999999999996</v>
      </c>
      <c r="C10" s="2">
        <v>4.7E-2</v>
      </c>
      <c r="D10" s="2">
        <v>51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7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>
        <v>101.5</v>
      </c>
      <c r="B19" s="2">
        <v>0.98799999999999999</v>
      </c>
      <c r="C19" s="2">
        <v>6.0000000000000001E-3</v>
      </c>
      <c r="D19" s="2">
        <v>188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94.5</v>
      </c>
      <c r="B20" s="2">
        <v>0.79300000000000004</v>
      </c>
      <c r="C20" s="2">
        <v>0.02</v>
      </c>
      <c r="D20" s="2">
        <v>224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84.5</v>
      </c>
      <c r="B21" s="2">
        <v>0.69499999999999995</v>
      </c>
      <c r="C21" s="2">
        <v>1.4999999999999999E-2</v>
      </c>
      <c r="D21" s="2">
        <v>356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74.5</v>
      </c>
      <c r="B22" s="2">
        <v>0.67700000000000005</v>
      </c>
      <c r="C22" s="2">
        <v>1.4E-2</v>
      </c>
      <c r="D22" s="2">
        <v>553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64.5</v>
      </c>
      <c r="B23" s="2">
        <v>0.64600000000000002</v>
      </c>
      <c r="C23" s="2">
        <v>0.01</v>
      </c>
      <c r="D23" s="2">
        <v>1061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54.5</v>
      </c>
      <c r="B24" s="2">
        <v>0.63200000000000001</v>
      </c>
      <c r="C24" s="2">
        <v>8.9999999999999993E-3</v>
      </c>
      <c r="D24" s="2">
        <v>1405</v>
      </c>
    </row>
    <row r="25" spans="1:14">
      <c r="A25" s="2">
        <v>44.5</v>
      </c>
      <c r="B25" s="2" t="s">
        <v>6</v>
      </c>
      <c r="C25" s="2" t="s">
        <v>6</v>
      </c>
      <c r="D25" s="2" t="s">
        <v>6</v>
      </c>
    </row>
    <row r="26" spans="1:14">
      <c r="A26" s="2">
        <v>34.5</v>
      </c>
      <c r="B26" s="2" t="s">
        <v>6</v>
      </c>
      <c r="C26" s="2" t="s">
        <v>6</v>
      </c>
      <c r="D26" s="2" t="s">
        <v>6</v>
      </c>
    </row>
    <row r="27" spans="1:14">
      <c r="A27" s="2">
        <v>24.5</v>
      </c>
      <c r="B27" s="2" t="s">
        <v>6</v>
      </c>
      <c r="C27" s="2" t="s">
        <v>6</v>
      </c>
      <c r="D27" s="2" t="s">
        <v>6</v>
      </c>
    </row>
    <row r="28" spans="1:14">
      <c r="A28" s="2">
        <v>14.5</v>
      </c>
      <c r="B28" s="2" t="s">
        <v>6</v>
      </c>
      <c r="C28" s="2" t="s">
        <v>6</v>
      </c>
      <c r="D28" s="2" t="s">
        <v>6</v>
      </c>
    </row>
    <row r="29" spans="1:14">
      <c r="A29" s="2">
        <v>4.5</v>
      </c>
      <c r="B29" s="2" t="s">
        <v>6</v>
      </c>
      <c r="C29" s="2" t="s">
        <v>6</v>
      </c>
      <c r="D29" s="2" t="s">
        <v>6</v>
      </c>
    </row>
    <row r="32" spans="1:14">
      <c r="A32" s="2" t="s">
        <v>8</v>
      </c>
      <c r="B32" s="2" t="s">
        <v>9</v>
      </c>
      <c r="C32" s="2" t="s">
        <v>10</v>
      </c>
    </row>
    <row r="33" spans="1:3">
      <c r="A33" s="2">
        <v>55</v>
      </c>
      <c r="B33" s="2">
        <v>0</v>
      </c>
      <c r="C33" s="2" t="s">
        <v>11</v>
      </c>
    </row>
    <row r="34" spans="1:3">
      <c r="A34" s="2">
        <v>65</v>
      </c>
      <c r="B34" s="2">
        <v>0</v>
      </c>
      <c r="C34" s="2" t="s">
        <v>12</v>
      </c>
    </row>
    <row r="35" spans="1:3">
      <c r="A35" s="2">
        <v>75</v>
      </c>
      <c r="B35" s="2">
        <v>0</v>
      </c>
      <c r="C35" s="2" t="s">
        <v>13</v>
      </c>
    </row>
    <row r="36" spans="1:3">
      <c r="A36" s="2">
        <v>85</v>
      </c>
      <c r="B36" s="2">
        <v>0</v>
      </c>
      <c r="C36" s="2" t="s">
        <v>14</v>
      </c>
    </row>
    <row r="37" spans="1:3">
      <c r="A37" s="2">
        <v>95</v>
      </c>
      <c r="B37" s="2">
        <v>0</v>
      </c>
      <c r="C37" s="2" t="s">
        <v>15</v>
      </c>
    </row>
    <row r="38" spans="1:3">
      <c r="A38" s="2">
        <v>102</v>
      </c>
      <c r="B38" s="2">
        <v>0</v>
      </c>
      <c r="C38" s="6" t="s">
        <v>16</v>
      </c>
    </row>
  </sheetData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130" zoomScaleNormal="130" zoomScalePageLayoutView="130" workbookViewId="0">
      <selection sqref="A1:D1048576"/>
    </sheetView>
  </sheetViews>
  <sheetFormatPr baseColWidth="10" defaultColWidth="8.83203125" defaultRowHeight="14" x14ac:dyDescent="0"/>
  <cols>
    <col min="1" max="1" width="6.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0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B5" s="2">
        <v>0.375</v>
      </c>
      <c r="C5" s="2">
        <v>0.04</v>
      </c>
      <c r="D5" s="2">
        <v>37</v>
      </c>
    </row>
    <row r="6" spans="1:14">
      <c r="A6" s="2">
        <v>95.5</v>
      </c>
      <c r="B6" s="2">
        <v>0.38200000000000001</v>
      </c>
      <c r="C6" s="2">
        <v>8.9999999999999993E-3</v>
      </c>
      <c r="D6" s="2">
        <v>978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85.5</v>
      </c>
      <c r="B7" s="2">
        <v>0.39900000000000002</v>
      </c>
      <c r="C7" s="2">
        <v>1.0999999999999999E-2</v>
      </c>
      <c r="D7" s="2">
        <v>671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75.5</v>
      </c>
      <c r="B8" s="2">
        <v>0.40300000000000002</v>
      </c>
      <c r="C8" s="2">
        <v>1.4999999999999999E-2</v>
      </c>
      <c r="D8" s="2">
        <v>334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65.5</v>
      </c>
      <c r="B9" s="2">
        <v>0.40699999999999997</v>
      </c>
      <c r="C9" s="2">
        <v>2.3E-2</v>
      </c>
      <c r="D9" s="2">
        <v>159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55.5</v>
      </c>
      <c r="B10" s="2">
        <v>0.34899999999999998</v>
      </c>
      <c r="C10" s="2">
        <v>3.4000000000000002E-2</v>
      </c>
      <c r="D10" s="2">
        <v>78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7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>
        <v>101.5</v>
      </c>
      <c r="B19" s="2">
        <v>0.97799999999999998</v>
      </c>
      <c r="C19" s="2">
        <v>1.2999999999999999E-2</v>
      </c>
      <c r="D19" s="2">
        <v>110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94.5</v>
      </c>
      <c r="B20" s="2">
        <v>0.54900000000000004</v>
      </c>
      <c r="C20" s="2">
        <v>2.9000000000000001E-2</v>
      </c>
      <c r="D20" s="2">
        <v>145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84.5</v>
      </c>
      <c r="B21" s="2">
        <v>0.59</v>
      </c>
      <c r="C21" s="2">
        <v>1.9E-2</v>
      </c>
      <c r="D21" s="2">
        <v>291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74.5</v>
      </c>
      <c r="B22" s="2">
        <v>0.53300000000000003</v>
      </c>
      <c r="C22" s="2">
        <v>1.4E-2</v>
      </c>
      <c r="D22" s="2">
        <v>584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64.5</v>
      </c>
      <c r="B23" s="2">
        <v>0.439</v>
      </c>
      <c r="C23" s="2">
        <v>0.01</v>
      </c>
      <c r="D23" s="2">
        <v>911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54.5</v>
      </c>
      <c r="B24" s="2">
        <v>0.442</v>
      </c>
      <c r="C24" s="2">
        <v>8.0000000000000002E-3</v>
      </c>
      <c r="D24" s="2">
        <v>1306</v>
      </c>
    </row>
    <row r="25" spans="1:14">
      <c r="A25" s="2">
        <v>44.5</v>
      </c>
      <c r="B25" s="2" t="s">
        <v>6</v>
      </c>
      <c r="C25" s="2" t="s">
        <v>6</v>
      </c>
      <c r="D25" s="2" t="s">
        <v>6</v>
      </c>
    </row>
    <row r="26" spans="1:14">
      <c r="A26" s="2">
        <v>34.5</v>
      </c>
      <c r="B26" s="2" t="s">
        <v>6</v>
      </c>
      <c r="C26" s="2" t="s">
        <v>6</v>
      </c>
      <c r="D26" s="2" t="s">
        <v>6</v>
      </c>
    </row>
    <row r="27" spans="1:14">
      <c r="A27" s="2">
        <v>24.5</v>
      </c>
      <c r="B27" s="2" t="s">
        <v>6</v>
      </c>
      <c r="C27" s="2" t="s">
        <v>6</v>
      </c>
      <c r="D27" s="2" t="s">
        <v>6</v>
      </c>
    </row>
    <row r="28" spans="1:14">
      <c r="A28" s="2">
        <v>14.5</v>
      </c>
      <c r="B28" s="2" t="s">
        <v>6</v>
      </c>
      <c r="C28" s="2" t="s">
        <v>6</v>
      </c>
      <c r="D28" s="2" t="s">
        <v>6</v>
      </c>
    </row>
    <row r="29" spans="1:14">
      <c r="A29" s="2">
        <v>4.5</v>
      </c>
      <c r="B29" s="2" t="s">
        <v>6</v>
      </c>
      <c r="C29" s="2" t="s">
        <v>6</v>
      </c>
      <c r="D29" s="2" t="s">
        <v>6</v>
      </c>
    </row>
    <row r="30" spans="1:14">
      <c r="D30" s="2">
        <f>SUM(D19:D29)</f>
        <v>3347</v>
      </c>
    </row>
    <row r="32" spans="1:14">
      <c r="A32" s="2" t="s">
        <v>8</v>
      </c>
      <c r="B32" s="2" t="s">
        <v>9</v>
      </c>
      <c r="C32" s="2" t="s">
        <v>10</v>
      </c>
    </row>
    <row r="33" spans="1:3">
      <c r="A33" s="2">
        <v>55</v>
      </c>
      <c r="B33" s="2">
        <v>0</v>
      </c>
      <c r="C33" s="2" t="s">
        <v>11</v>
      </c>
    </row>
    <row r="34" spans="1:3">
      <c r="A34" s="2">
        <v>65</v>
      </c>
      <c r="B34" s="2">
        <v>0</v>
      </c>
      <c r="C34" s="2" t="s">
        <v>12</v>
      </c>
    </row>
    <row r="35" spans="1:3">
      <c r="A35" s="2">
        <v>75</v>
      </c>
      <c r="B35" s="2">
        <v>0</v>
      </c>
      <c r="C35" s="2" t="s">
        <v>13</v>
      </c>
    </row>
    <row r="36" spans="1:3">
      <c r="A36" s="2">
        <v>85</v>
      </c>
      <c r="B36" s="2">
        <v>0</v>
      </c>
      <c r="C36" s="2" t="s">
        <v>14</v>
      </c>
    </row>
    <row r="37" spans="1:3">
      <c r="A37" s="2">
        <v>95</v>
      </c>
      <c r="B37" s="2">
        <v>0</v>
      </c>
      <c r="C37" s="2" t="s">
        <v>15</v>
      </c>
    </row>
    <row r="38" spans="1:3">
      <c r="A38" s="2">
        <v>102</v>
      </c>
      <c r="B38" s="2">
        <v>0</v>
      </c>
      <c r="C38" s="6" t="s">
        <v>16</v>
      </c>
    </row>
  </sheetData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zoomScale="130" zoomScaleNormal="130" zoomScalePageLayoutView="130" workbookViewId="0">
      <selection sqref="A1:D1048576"/>
    </sheetView>
  </sheetViews>
  <sheetFormatPr baseColWidth="10" defaultColWidth="8.83203125" defaultRowHeight="14" x14ac:dyDescent="0"/>
  <cols>
    <col min="1" max="1" width="7.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18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B5" s="2">
        <v>0.375</v>
      </c>
      <c r="C5" s="2">
        <v>0.04</v>
      </c>
      <c r="D5" s="2">
        <v>37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2">
        <v>95.75</v>
      </c>
      <c r="B6" s="2">
        <v>0.38200000000000001</v>
      </c>
      <c r="C6" s="2">
        <v>8.9999999999999993E-3</v>
      </c>
      <c r="D6" s="2">
        <v>978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85.75</v>
      </c>
      <c r="B7" s="2">
        <v>0.39900000000000002</v>
      </c>
      <c r="C7" s="2">
        <v>1.0999999999999999E-2</v>
      </c>
      <c r="D7" s="2">
        <v>671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75.75</v>
      </c>
      <c r="B8" s="2">
        <v>0.40300000000000002</v>
      </c>
      <c r="C8" s="2">
        <v>1.4999999999999999E-2</v>
      </c>
      <c r="D8" s="2">
        <v>334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65.75</v>
      </c>
      <c r="B9" s="2">
        <v>0.40699999999999997</v>
      </c>
      <c r="C9" s="2">
        <v>2.3E-2</v>
      </c>
      <c r="D9" s="2">
        <v>159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55.75</v>
      </c>
      <c r="B10" s="2">
        <v>0.34899999999999998</v>
      </c>
      <c r="C10" s="2">
        <v>3.4000000000000002E-2</v>
      </c>
      <c r="D10" s="2">
        <v>78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45.75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35.75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25.75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15.75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5.75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19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>
        <v>100.5</v>
      </c>
      <c r="B19" s="2">
        <v>0.96499999999999997</v>
      </c>
      <c r="C19" s="2">
        <v>3.5000000000000003E-2</v>
      </c>
      <c r="D19" s="2">
        <v>26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95.25</v>
      </c>
      <c r="B20" s="2">
        <v>0.81799999999999995</v>
      </c>
      <c r="C20" s="2">
        <v>3.7999999999999999E-2</v>
      </c>
      <c r="D20" s="2">
        <v>43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85.25</v>
      </c>
      <c r="B21" s="2">
        <v>0.78300000000000003</v>
      </c>
      <c r="C21" s="2">
        <v>4.2000000000000003E-2</v>
      </c>
      <c r="D21" s="2">
        <v>44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75.25</v>
      </c>
      <c r="B22" s="2">
        <v>0.69599999999999995</v>
      </c>
      <c r="C22" s="2">
        <v>4.3999999999999997E-2</v>
      </c>
      <c r="D22" s="2">
        <v>44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65.25</v>
      </c>
      <c r="B23" s="2">
        <v>0.54</v>
      </c>
      <c r="C23" s="2">
        <v>0.08</v>
      </c>
      <c r="D23" s="2">
        <v>19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55.25</v>
      </c>
      <c r="B24" s="2">
        <v>0.74199999999999999</v>
      </c>
      <c r="C24" s="2">
        <v>6.0999999999999999E-2</v>
      </c>
      <c r="D24" s="2">
        <v>35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2">
        <v>45.25</v>
      </c>
      <c r="B25" s="2" t="s">
        <v>6</v>
      </c>
      <c r="C25" s="2" t="s">
        <v>6</v>
      </c>
      <c r="D25" s="2" t="s">
        <v>6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2">
        <v>35.25</v>
      </c>
      <c r="B26" s="2" t="s">
        <v>6</v>
      </c>
      <c r="C26" s="2" t="s">
        <v>6</v>
      </c>
      <c r="D26" s="2" t="s">
        <v>6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2">
        <v>25.25</v>
      </c>
      <c r="B27" s="2" t="s">
        <v>6</v>
      </c>
      <c r="C27" s="2" t="s">
        <v>6</v>
      </c>
      <c r="D27" s="2" t="s">
        <v>6</v>
      </c>
    </row>
    <row r="28" spans="1:14">
      <c r="A28" s="2">
        <v>15.25</v>
      </c>
      <c r="B28" s="2" t="s">
        <v>6</v>
      </c>
      <c r="C28" s="2" t="s">
        <v>6</v>
      </c>
      <c r="D28" s="2" t="s">
        <v>6</v>
      </c>
    </row>
    <row r="29" spans="1:14">
      <c r="A29" s="2">
        <v>5.25</v>
      </c>
      <c r="B29" s="2" t="s">
        <v>6</v>
      </c>
      <c r="C29" s="2" t="s">
        <v>6</v>
      </c>
      <c r="D29" s="2" t="s">
        <v>6</v>
      </c>
    </row>
    <row r="31" spans="1:14" s="1" customFormat="1">
      <c r="A31" s="1" t="s">
        <v>20</v>
      </c>
    </row>
    <row r="32" spans="1:14" s="1" customFormat="1">
      <c r="A32" s="1" t="s">
        <v>2</v>
      </c>
      <c r="B32" s="1" t="s">
        <v>3</v>
      </c>
      <c r="C32" s="1" t="s">
        <v>4</v>
      </c>
      <c r="D32" s="1" t="s">
        <v>5</v>
      </c>
    </row>
    <row r="33" spans="1:4">
      <c r="A33" s="2">
        <v>100.5</v>
      </c>
      <c r="B33" s="2">
        <v>0.623</v>
      </c>
      <c r="C33" s="2">
        <v>0.223</v>
      </c>
      <c r="D33" s="2">
        <v>4</v>
      </c>
    </row>
    <row r="34" spans="1:4">
      <c r="A34" s="2">
        <v>94.75</v>
      </c>
      <c r="B34" s="2">
        <v>0.34200000000000003</v>
      </c>
      <c r="C34" s="2">
        <v>3.4000000000000002E-2</v>
      </c>
      <c r="D34" s="2">
        <v>49</v>
      </c>
    </row>
    <row r="35" spans="1:4">
      <c r="A35" s="2">
        <v>84.75</v>
      </c>
      <c r="B35" s="2">
        <v>0.41699999999999998</v>
      </c>
      <c r="C35" s="2">
        <v>2.8000000000000001E-2</v>
      </c>
      <c r="D35" s="2">
        <v>97</v>
      </c>
    </row>
    <row r="36" spans="1:4">
      <c r="A36" s="2">
        <v>74.75</v>
      </c>
      <c r="B36" s="2">
        <v>0.34200000000000003</v>
      </c>
      <c r="C36" s="2">
        <v>1.6E-2</v>
      </c>
      <c r="D36" s="2">
        <v>214</v>
      </c>
    </row>
    <row r="37" spans="1:4">
      <c r="A37" s="2">
        <v>64.75</v>
      </c>
      <c r="B37" s="2">
        <v>0.33100000000000002</v>
      </c>
      <c r="C37" s="2">
        <v>1.2E-2</v>
      </c>
      <c r="D37" s="2">
        <v>396</v>
      </c>
    </row>
    <row r="38" spans="1:4">
      <c r="A38" s="2">
        <v>54.75</v>
      </c>
      <c r="B38" s="2">
        <v>0.34200000000000003</v>
      </c>
      <c r="C38" s="2">
        <v>0.01</v>
      </c>
      <c r="D38" s="2">
        <v>586</v>
      </c>
    </row>
    <row r="39" spans="1:4">
      <c r="A39" s="2">
        <v>44.75</v>
      </c>
      <c r="B39" s="2" t="s">
        <v>6</v>
      </c>
      <c r="C39" s="2" t="s">
        <v>6</v>
      </c>
      <c r="D39" s="2" t="s">
        <v>6</v>
      </c>
    </row>
    <row r="40" spans="1:4">
      <c r="A40" s="2">
        <v>34.75</v>
      </c>
      <c r="B40" s="2" t="s">
        <v>6</v>
      </c>
      <c r="C40" s="2" t="s">
        <v>6</v>
      </c>
      <c r="D40" s="2" t="s">
        <v>6</v>
      </c>
    </row>
    <row r="41" spans="1:4">
      <c r="A41" s="2">
        <v>24.75</v>
      </c>
      <c r="B41" s="2" t="s">
        <v>6</v>
      </c>
      <c r="C41" s="2" t="s">
        <v>6</v>
      </c>
      <c r="D41" s="2" t="s">
        <v>6</v>
      </c>
    </row>
    <row r="42" spans="1:4">
      <c r="A42" s="2">
        <v>14.75</v>
      </c>
      <c r="B42" s="2" t="s">
        <v>6</v>
      </c>
      <c r="C42" s="2" t="s">
        <v>6</v>
      </c>
      <c r="D42" s="2" t="s">
        <v>6</v>
      </c>
    </row>
    <row r="43" spans="1:4">
      <c r="A43" s="2">
        <v>4.75</v>
      </c>
      <c r="B43" s="2" t="s">
        <v>6</v>
      </c>
      <c r="C43" s="2" t="s">
        <v>6</v>
      </c>
      <c r="D43" s="2" t="s">
        <v>6</v>
      </c>
    </row>
    <row r="45" spans="1:4" s="1" customFormat="1">
      <c r="A45" s="1" t="s">
        <v>21</v>
      </c>
    </row>
    <row r="46" spans="1:4" s="1" customFormat="1">
      <c r="A46" s="1" t="s">
        <v>2</v>
      </c>
      <c r="B46" s="1" t="s">
        <v>3</v>
      </c>
      <c r="C46" s="1" t="s">
        <v>4</v>
      </c>
      <c r="D46" s="1" t="s">
        <v>5</v>
      </c>
    </row>
    <row r="47" spans="1:4">
      <c r="A47" s="2">
        <v>101.5</v>
      </c>
      <c r="B47" s="2">
        <v>1</v>
      </c>
      <c r="C47" s="2">
        <v>0</v>
      </c>
      <c r="D47" s="2">
        <v>80</v>
      </c>
    </row>
    <row r="48" spans="1:4">
      <c r="A48" s="2">
        <v>94.25</v>
      </c>
      <c r="B48" s="2">
        <v>0.52300000000000002</v>
      </c>
      <c r="C48" s="2">
        <v>4.8000000000000001E-2</v>
      </c>
      <c r="D48" s="2">
        <v>53</v>
      </c>
    </row>
    <row r="49" spans="1:4">
      <c r="A49" s="2">
        <v>84.25</v>
      </c>
      <c r="B49" s="2">
        <v>0.64600000000000002</v>
      </c>
      <c r="C49" s="2">
        <v>2.5999999999999999E-2</v>
      </c>
      <c r="D49" s="2">
        <v>150</v>
      </c>
    </row>
    <row r="50" spans="1:4">
      <c r="A50" s="2">
        <v>74.25</v>
      </c>
      <c r="B50" s="2">
        <v>0.63700000000000001</v>
      </c>
      <c r="C50" s="2">
        <v>1.7999999999999999E-2</v>
      </c>
      <c r="D50" s="2">
        <v>326</v>
      </c>
    </row>
    <row r="51" spans="1:4">
      <c r="A51" s="2">
        <v>64.25</v>
      </c>
      <c r="B51" s="2">
        <v>0.52200000000000002</v>
      </c>
      <c r="C51" s="2">
        <v>1.4E-2</v>
      </c>
      <c r="D51" s="2">
        <v>496</v>
      </c>
    </row>
    <row r="52" spans="1:4">
      <c r="A52" s="2">
        <v>54.25</v>
      </c>
      <c r="B52" s="2">
        <v>0.51300000000000001</v>
      </c>
      <c r="C52" s="2">
        <v>1.2E-2</v>
      </c>
      <c r="D52" s="2">
        <v>685</v>
      </c>
    </row>
    <row r="53" spans="1:4">
      <c r="A53" s="2">
        <v>44.25</v>
      </c>
      <c r="B53" s="2" t="s">
        <v>6</v>
      </c>
      <c r="C53" s="2" t="s">
        <v>6</v>
      </c>
      <c r="D53" s="2" t="s">
        <v>6</v>
      </c>
    </row>
    <row r="54" spans="1:4">
      <c r="A54" s="2">
        <v>34.25</v>
      </c>
      <c r="B54" s="2" t="s">
        <v>6</v>
      </c>
      <c r="C54" s="2" t="s">
        <v>6</v>
      </c>
      <c r="D54" s="2" t="s">
        <v>6</v>
      </c>
    </row>
    <row r="55" spans="1:4">
      <c r="A55" s="2">
        <v>24.25</v>
      </c>
      <c r="B55" s="2" t="s">
        <v>6</v>
      </c>
      <c r="C55" s="2" t="s">
        <v>6</v>
      </c>
      <c r="D55" s="2" t="s">
        <v>6</v>
      </c>
    </row>
    <row r="56" spans="1:4">
      <c r="A56" s="2">
        <v>14.25</v>
      </c>
      <c r="B56" s="2" t="s">
        <v>6</v>
      </c>
      <c r="C56" s="2" t="s">
        <v>6</v>
      </c>
      <c r="D56" s="2" t="s">
        <v>6</v>
      </c>
    </row>
    <row r="57" spans="1:4">
      <c r="A57" s="2">
        <v>4.25</v>
      </c>
      <c r="B57" s="2" t="s">
        <v>6</v>
      </c>
      <c r="C57" s="2" t="s">
        <v>6</v>
      </c>
      <c r="D57" s="2" t="s">
        <v>6</v>
      </c>
    </row>
    <row r="59" spans="1:4">
      <c r="A59" s="2" t="s">
        <v>8</v>
      </c>
      <c r="B59" s="2" t="s">
        <v>9</v>
      </c>
      <c r="C59" s="2" t="s">
        <v>10</v>
      </c>
    </row>
    <row r="60" spans="1:4">
      <c r="A60" s="2">
        <v>55</v>
      </c>
      <c r="B60" s="2">
        <v>0</v>
      </c>
      <c r="C60" s="2" t="s">
        <v>11</v>
      </c>
    </row>
    <row r="61" spans="1:4">
      <c r="A61" s="2">
        <v>65</v>
      </c>
      <c r="B61" s="2">
        <v>0</v>
      </c>
      <c r="C61" s="2" t="s">
        <v>12</v>
      </c>
    </row>
    <row r="62" spans="1:4">
      <c r="A62" s="2">
        <v>75</v>
      </c>
      <c r="B62" s="2">
        <v>0</v>
      </c>
      <c r="C62" s="2" t="s">
        <v>13</v>
      </c>
    </row>
    <row r="63" spans="1:4">
      <c r="A63" s="2">
        <v>85</v>
      </c>
      <c r="B63" s="2">
        <v>0</v>
      </c>
      <c r="C63" s="2" t="s">
        <v>14</v>
      </c>
    </row>
    <row r="64" spans="1:4">
      <c r="A64" s="2">
        <v>95</v>
      </c>
      <c r="B64" s="2">
        <v>0</v>
      </c>
      <c r="C64" s="2" t="s">
        <v>15</v>
      </c>
    </row>
    <row r="65" spans="1:3">
      <c r="A65" s="2">
        <v>102</v>
      </c>
      <c r="B65" s="2">
        <v>0</v>
      </c>
      <c r="C65" s="6" t="s">
        <v>16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zoomScale="130" zoomScaleNormal="130" zoomScalePageLayoutView="130" workbookViewId="0">
      <selection sqref="A1:D1048576"/>
    </sheetView>
  </sheetViews>
  <sheetFormatPr baseColWidth="10" defaultColWidth="8.83203125" defaultRowHeight="14" x14ac:dyDescent="0"/>
  <cols>
    <col min="1" max="1" width="7.664062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22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B5" s="2">
        <v>0.56599999999999995</v>
      </c>
      <c r="C5" s="2">
        <v>4.8000000000000001E-2</v>
      </c>
      <c r="D5" s="2">
        <v>43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2">
        <v>95.75</v>
      </c>
      <c r="B6" s="2">
        <v>0.57899999999999996</v>
      </c>
      <c r="C6" s="2">
        <v>1.0999999999999999E-2</v>
      </c>
      <c r="D6" s="2">
        <v>959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85.75</v>
      </c>
      <c r="B7" s="2">
        <v>0.60299999999999998</v>
      </c>
      <c r="C7" s="2">
        <v>1.4E-2</v>
      </c>
      <c r="D7" s="2">
        <v>608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75.75</v>
      </c>
      <c r="B8" s="2">
        <v>0.64</v>
      </c>
      <c r="C8" s="2">
        <v>1.9E-2</v>
      </c>
      <c r="D8" s="2">
        <v>300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65.75</v>
      </c>
      <c r="B9" s="2">
        <v>0.65</v>
      </c>
      <c r="C9" s="2">
        <v>2.8000000000000001E-2</v>
      </c>
      <c r="D9" s="2">
        <v>127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55.75</v>
      </c>
      <c r="B10" s="2">
        <v>0.57899999999999996</v>
      </c>
      <c r="C10" s="2">
        <v>4.7E-2</v>
      </c>
      <c r="D10" s="2">
        <v>51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45.75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35.75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25.75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15.75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5.75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19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6">
        <v>100.5</v>
      </c>
      <c r="B19" s="2">
        <v>1</v>
      </c>
      <c r="C19" s="2">
        <v>0</v>
      </c>
      <c r="D19" s="2">
        <v>43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95.25</v>
      </c>
      <c r="B20" s="2">
        <v>0.88400000000000001</v>
      </c>
      <c r="C20" s="2">
        <v>3.4000000000000002E-2</v>
      </c>
      <c r="D20" s="2">
        <v>40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85.25</v>
      </c>
      <c r="B21" s="2">
        <v>0.84899999999999998</v>
      </c>
      <c r="C21" s="2">
        <v>3.2000000000000001E-2</v>
      </c>
      <c r="D21" s="2">
        <v>51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75.25</v>
      </c>
      <c r="B22" s="2">
        <v>0.73899999999999999</v>
      </c>
      <c r="C22" s="2">
        <v>6.4000000000000001E-2</v>
      </c>
      <c r="D22" s="2">
        <v>34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65.25</v>
      </c>
      <c r="B23" s="2">
        <v>0.86399999999999999</v>
      </c>
      <c r="C23" s="2">
        <v>8.1000000000000003E-2</v>
      </c>
      <c r="D23" s="2">
        <v>13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55.25</v>
      </c>
      <c r="B24" s="2">
        <v>0.67700000000000005</v>
      </c>
      <c r="C24" s="2">
        <v>7.0000000000000007E-2</v>
      </c>
      <c r="D24" s="2">
        <v>24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2">
        <v>45.25</v>
      </c>
      <c r="B25" s="2" t="s">
        <v>6</v>
      </c>
      <c r="C25" s="2" t="s">
        <v>6</v>
      </c>
      <c r="D25" s="2" t="s">
        <v>6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2">
        <v>35.25</v>
      </c>
      <c r="B26" s="2" t="s">
        <v>6</v>
      </c>
      <c r="C26" s="2" t="s">
        <v>6</v>
      </c>
      <c r="D26" s="2" t="s">
        <v>6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2">
        <v>25.25</v>
      </c>
      <c r="B27" s="2" t="s">
        <v>6</v>
      </c>
      <c r="C27" s="2" t="s">
        <v>6</v>
      </c>
      <c r="D27" s="2" t="s">
        <v>6</v>
      </c>
    </row>
    <row r="28" spans="1:14">
      <c r="A28" s="2">
        <v>15.25</v>
      </c>
      <c r="B28" s="2" t="s">
        <v>6</v>
      </c>
      <c r="C28" s="2" t="s">
        <v>6</v>
      </c>
      <c r="D28" s="2" t="s">
        <v>6</v>
      </c>
    </row>
    <row r="29" spans="1:14">
      <c r="A29" s="2">
        <v>5.25</v>
      </c>
      <c r="B29" s="2" t="s">
        <v>6</v>
      </c>
      <c r="C29" s="2" t="s">
        <v>6</v>
      </c>
      <c r="D29" s="2" t="s">
        <v>6</v>
      </c>
    </row>
    <row r="31" spans="1:14" s="1" customFormat="1">
      <c r="A31" s="1" t="s">
        <v>20</v>
      </c>
    </row>
    <row r="32" spans="1:14" s="1" customFormat="1">
      <c r="A32" s="1" t="s">
        <v>2</v>
      </c>
      <c r="B32" s="1" t="s">
        <v>3</v>
      </c>
      <c r="C32" s="1" t="s">
        <v>4</v>
      </c>
      <c r="D32" s="1" t="s">
        <v>5</v>
      </c>
    </row>
    <row r="33" spans="1:4">
      <c r="A33" s="2">
        <v>100.5</v>
      </c>
      <c r="B33" s="2">
        <v>0.91900000000000004</v>
      </c>
      <c r="C33" s="2">
        <v>4.2000000000000003E-2</v>
      </c>
      <c r="D33" s="2">
        <v>28</v>
      </c>
    </row>
    <row r="34" spans="1:4">
      <c r="A34" s="2">
        <v>94.75</v>
      </c>
      <c r="B34" s="2">
        <v>0.66800000000000004</v>
      </c>
      <c r="C34" s="2">
        <v>3.9E-2</v>
      </c>
      <c r="D34" s="2">
        <v>85</v>
      </c>
    </row>
    <row r="35" spans="1:4">
      <c r="A35" s="2">
        <v>84.75</v>
      </c>
      <c r="B35" s="2">
        <v>0.56299999999999994</v>
      </c>
      <c r="C35" s="2">
        <v>2.5000000000000001E-2</v>
      </c>
      <c r="D35" s="2">
        <v>143</v>
      </c>
    </row>
    <row r="36" spans="1:4">
      <c r="A36" s="2">
        <v>74.75</v>
      </c>
      <c r="B36" s="2">
        <v>0.54400000000000004</v>
      </c>
      <c r="C36" s="2">
        <v>2.1999999999999999E-2</v>
      </c>
      <c r="D36" s="2">
        <v>220</v>
      </c>
    </row>
    <row r="37" spans="1:4">
      <c r="A37" s="2">
        <v>64.75</v>
      </c>
      <c r="B37" s="2">
        <v>0.56100000000000005</v>
      </c>
      <c r="C37" s="2">
        <v>1.6E-2</v>
      </c>
      <c r="D37" s="2">
        <v>453</v>
      </c>
    </row>
    <row r="38" spans="1:4">
      <c r="A38" s="2">
        <v>54.75</v>
      </c>
      <c r="B38" s="2">
        <v>0.54400000000000004</v>
      </c>
      <c r="C38" s="2">
        <v>1.4999999999999999E-2</v>
      </c>
      <c r="D38" s="2">
        <v>585</v>
      </c>
    </row>
    <row r="39" spans="1:4">
      <c r="A39" s="2">
        <v>44.75</v>
      </c>
      <c r="B39" s="2" t="s">
        <v>6</v>
      </c>
      <c r="C39" s="2" t="s">
        <v>6</v>
      </c>
      <c r="D39" s="2" t="s">
        <v>6</v>
      </c>
    </row>
    <row r="40" spans="1:4">
      <c r="A40" s="2">
        <v>34.75</v>
      </c>
      <c r="B40" s="2" t="s">
        <v>6</v>
      </c>
      <c r="C40" s="2" t="s">
        <v>6</v>
      </c>
      <c r="D40" s="2" t="s">
        <v>6</v>
      </c>
    </row>
    <row r="41" spans="1:4">
      <c r="A41" s="2">
        <v>24.75</v>
      </c>
      <c r="B41" s="2" t="s">
        <v>6</v>
      </c>
      <c r="C41" s="2" t="s">
        <v>6</v>
      </c>
      <c r="D41" s="2" t="s">
        <v>6</v>
      </c>
    </row>
    <row r="42" spans="1:4">
      <c r="A42" s="2">
        <v>14.75</v>
      </c>
      <c r="B42" s="2" t="s">
        <v>6</v>
      </c>
      <c r="C42" s="2" t="s">
        <v>6</v>
      </c>
      <c r="D42" s="2" t="s">
        <v>6</v>
      </c>
    </row>
    <row r="43" spans="1:4">
      <c r="A43" s="2">
        <v>4.75</v>
      </c>
      <c r="B43" s="2" t="s">
        <v>6</v>
      </c>
      <c r="C43" s="2" t="s">
        <v>6</v>
      </c>
      <c r="D43" s="2" t="s">
        <v>6</v>
      </c>
    </row>
    <row r="45" spans="1:4" s="1" customFormat="1">
      <c r="A45" s="1" t="s">
        <v>21</v>
      </c>
    </row>
    <row r="46" spans="1:4" s="1" customFormat="1">
      <c r="A46" s="1" t="s">
        <v>2</v>
      </c>
      <c r="B46" s="1" t="s">
        <v>3</v>
      </c>
      <c r="C46" s="1" t="s">
        <v>4</v>
      </c>
      <c r="D46" s="1" t="s">
        <v>5</v>
      </c>
    </row>
    <row r="47" spans="1:4">
      <c r="A47" s="2">
        <v>101.5</v>
      </c>
      <c r="B47" s="2">
        <v>1</v>
      </c>
      <c r="C47" s="2">
        <v>0</v>
      </c>
      <c r="D47" s="2">
        <v>117</v>
      </c>
    </row>
    <row r="48" spans="1:4">
      <c r="A48" s="2">
        <v>94.25</v>
      </c>
      <c r="B48" s="2">
        <v>0.86399999999999999</v>
      </c>
      <c r="C48" s="2">
        <v>2.3E-2</v>
      </c>
      <c r="D48" s="2">
        <v>99</v>
      </c>
    </row>
    <row r="49" spans="1:4">
      <c r="A49" s="2">
        <v>84.25</v>
      </c>
      <c r="B49" s="2">
        <v>0.76200000000000001</v>
      </c>
      <c r="C49" s="2">
        <v>1.9E-2</v>
      </c>
      <c r="D49" s="2">
        <v>162</v>
      </c>
    </row>
    <row r="50" spans="1:4">
      <c r="A50" s="2">
        <v>74.25</v>
      </c>
      <c r="B50" s="2">
        <v>0.76800000000000002</v>
      </c>
      <c r="C50" s="2">
        <v>1.6E-2</v>
      </c>
      <c r="D50" s="2">
        <v>299</v>
      </c>
    </row>
    <row r="51" spans="1:4">
      <c r="A51" s="2">
        <v>64.25</v>
      </c>
      <c r="B51" s="2">
        <v>0.70599999999999996</v>
      </c>
      <c r="C51" s="2">
        <v>1.2E-2</v>
      </c>
      <c r="D51" s="2">
        <v>595</v>
      </c>
    </row>
    <row r="52" spans="1:4">
      <c r="A52" s="2">
        <v>54.25</v>
      </c>
      <c r="B52" s="2">
        <v>0.69599999999999995</v>
      </c>
      <c r="C52" s="2">
        <v>1.0999999999999999E-2</v>
      </c>
      <c r="D52" s="2">
        <v>796</v>
      </c>
    </row>
    <row r="53" spans="1:4">
      <c r="A53" s="2">
        <v>44.25</v>
      </c>
      <c r="B53" s="2" t="s">
        <v>6</v>
      </c>
      <c r="C53" s="2" t="s">
        <v>6</v>
      </c>
      <c r="D53" s="2" t="s">
        <v>6</v>
      </c>
    </row>
    <row r="54" spans="1:4">
      <c r="A54" s="2">
        <v>34.25</v>
      </c>
      <c r="B54" s="2" t="s">
        <v>6</v>
      </c>
      <c r="C54" s="2" t="s">
        <v>6</v>
      </c>
      <c r="D54" s="2" t="s">
        <v>6</v>
      </c>
    </row>
    <row r="55" spans="1:4">
      <c r="A55" s="2">
        <v>24.25</v>
      </c>
      <c r="B55" s="2" t="s">
        <v>6</v>
      </c>
      <c r="C55" s="2" t="s">
        <v>6</v>
      </c>
      <c r="D55" s="2" t="s">
        <v>6</v>
      </c>
    </row>
    <row r="56" spans="1:4">
      <c r="A56" s="2">
        <v>14.25</v>
      </c>
      <c r="B56" s="2" t="s">
        <v>6</v>
      </c>
      <c r="C56" s="2" t="s">
        <v>6</v>
      </c>
      <c r="D56" s="2" t="s">
        <v>6</v>
      </c>
    </row>
    <row r="57" spans="1:4">
      <c r="A57" s="2">
        <v>4.25</v>
      </c>
      <c r="B57" s="2" t="s">
        <v>6</v>
      </c>
      <c r="C57" s="2" t="s">
        <v>6</v>
      </c>
      <c r="D57" s="2" t="s">
        <v>6</v>
      </c>
    </row>
    <row r="59" spans="1:4">
      <c r="A59" s="2" t="s">
        <v>8</v>
      </c>
      <c r="B59" s="2" t="s">
        <v>9</v>
      </c>
      <c r="C59" s="2" t="s">
        <v>10</v>
      </c>
    </row>
    <row r="60" spans="1:4">
      <c r="A60" s="2">
        <v>55</v>
      </c>
      <c r="B60" s="2">
        <v>0</v>
      </c>
      <c r="C60" s="2" t="s">
        <v>11</v>
      </c>
    </row>
    <row r="61" spans="1:4">
      <c r="A61" s="2">
        <v>65</v>
      </c>
      <c r="B61" s="2">
        <v>0</v>
      </c>
      <c r="C61" s="2" t="s">
        <v>12</v>
      </c>
    </row>
    <row r="62" spans="1:4">
      <c r="A62" s="2">
        <v>75</v>
      </c>
      <c r="B62" s="2">
        <v>0</v>
      </c>
      <c r="C62" s="2" t="s">
        <v>13</v>
      </c>
    </row>
    <row r="63" spans="1:4">
      <c r="A63" s="2">
        <v>85</v>
      </c>
      <c r="B63" s="2">
        <v>0</v>
      </c>
      <c r="C63" s="2" t="s">
        <v>14</v>
      </c>
    </row>
    <row r="64" spans="1:4">
      <c r="A64" s="2">
        <v>95</v>
      </c>
      <c r="B64" s="2">
        <v>0</v>
      </c>
      <c r="C64" s="2" t="s">
        <v>15</v>
      </c>
    </row>
    <row r="65" spans="1:3">
      <c r="A65" s="2">
        <v>102</v>
      </c>
      <c r="B65" s="2">
        <v>0</v>
      </c>
      <c r="C65" s="6" t="s">
        <v>16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MFO_2</vt:lpstr>
      <vt:lpstr>BPO_2</vt:lpstr>
      <vt:lpstr>BPO_4</vt:lpstr>
      <vt:lpstr>MFO_4</vt:lpstr>
    </vt:vector>
  </TitlesOfParts>
  <Company>Indiana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Tecumseh</dc:creator>
  <cp:lastModifiedBy>Wyatt Clark</cp:lastModifiedBy>
  <dcterms:created xsi:type="dcterms:W3CDTF">2011-11-15T21:25:26Z</dcterms:created>
  <dcterms:modified xsi:type="dcterms:W3CDTF">2013-03-28T19:23:15Z</dcterms:modified>
</cp:coreProperties>
</file>